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"/>
    </mc:Choice>
  </mc:AlternateContent>
  <xr:revisionPtr revIDLastSave="0" documentId="13_ncr:1_{AE0715BD-BFA8-449E-A121-B7AEF4E7CF4C}" xr6:coauthVersionLast="47" xr6:coauthVersionMax="47" xr10:uidLastSave="{00000000-0000-0000-0000-000000000000}"/>
  <bookViews>
    <workbookView xWindow="3107" yWindow="1267" windowWidth="19200" windowHeight="998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  <c r="H3" i="1"/>
  <c r="H7" i="1" s="1"/>
  <c r="H2" i="1"/>
  <c r="G6" i="1"/>
  <c r="G5" i="1"/>
  <c r="G4" i="1"/>
  <c r="G3" i="1"/>
  <c r="E7" i="1"/>
  <c r="F7" i="1"/>
  <c r="E8" i="1"/>
  <c r="E9" i="1" s="1"/>
  <c r="F8" i="1"/>
  <c r="E10" i="1"/>
  <c r="F10" i="1"/>
  <c r="D10" i="1"/>
  <c r="D8" i="1"/>
  <c r="D7" i="1"/>
  <c r="D9" i="1" s="1"/>
  <c r="C10" i="1"/>
  <c r="C8" i="1"/>
  <c r="C7" i="1"/>
  <c r="C9" i="1" s="1"/>
  <c r="B10" i="1"/>
  <c r="B9" i="1"/>
  <c r="B8" i="1"/>
  <c r="B7" i="1"/>
  <c r="H10" i="1" l="1"/>
  <c r="H8" i="1"/>
  <c r="H9" i="1" s="1"/>
  <c r="G7" i="1"/>
  <c r="G8" i="1"/>
  <c r="G10" i="1"/>
  <c r="F9" i="1"/>
  <c r="G9" i="1" l="1"/>
</calcChain>
</file>

<file path=xl/sharedStrings.xml><?xml version="1.0" encoding="utf-8"?>
<sst xmlns="http://schemas.openxmlformats.org/spreadsheetml/2006/main" count="16" uniqueCount="16">
  <si>
    <t>SOCIAL MEDIA</t>
  </si>
  <si>
    <t>Number of Records</t>
  </si>
  <si>
    <t>True Positive</t>
  </si>
  <si>
    <t>True Negative</t>
  </si>
  <si>
    <t>False Positive</t>
  </si>
  <si>
    <t>False Negative</t>
  </si>
  <si>
    <t>Precision</t>
  </si>
  <si>
    <t>Recall</t>
  </si>
  <si>
    <t>F1 Measure</t>
  </si>
  <si>
    <t>Accuracy</t>
  </si>
  <si>
    <t>LOCATION</t>
  </si>
  <si>
    <t>INDUSTRY</t>
  </si>
  <si>
    <t>FINANCE</t>
  </si>
  <si>
    <t>COMPANY</t>
  </si>
  <si>
    <t>TOTAL</t>
  </si>
  <si>
    <t>TOTAL EXCLUDING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</si>
</sst>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2" fillId="0" borderId="2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2" xfId="0" applyFont="1" applyBorder="1" applyAlignment="1">
      <alignment horizontal="right"/>
    </xf>
    <xf numFmtId="0" fontId="3" fillId="0" borderId="2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H1" sqref="A1:H10"/>
    </sheetView>
  </sheetViews>
  <sheetFormatPr defaultRowHeight="14.35" x14ac:dyDescent="0.5"/>
  <cols>
    <col min="1" max="1" width="23.29296875" bestFit="1" customWidth="1"/>
    <col min="2" max="2" width="19.9375" bestFit="1" customWidth="1"/>
    <col min="3" max="4" width="14.5859375" bestFit="1" customWidth="1"/>
    <col min="5" max="5" width="12.46875" bestFit="1" customWidth="1"/>
    <col min="6" max="6" width="14.64453125" bestFit="1" customWidth="1"/>
    <col min="7" max="7" width="9.8203125" bestFit="1" customWidth="1"/>
    <col min="8" max="8" width="39.8203125" bestFit="1" customWidth="1"/>
  </cols>
  <sheetData>
    <row r="1" spans="1:8" ht="23.35" x14ac:dyDescent="0.8">
      <c r="A1" s="4"/>
      <c r="B1" s="1" t="s">
        <v>0</v>
      </c>
      <c r="C1" s="1" t="s">
        <v>11</v>
      </c>
      <c r="D1" s="1" t="s">
        <v>10</v>
      </c>
      <c r="E1" s="1" t="s">
        <v>12</v>
      </c>
      <c r="F1" s="1" t="s">
        <v>13</v>
      </c>
      <c r="G1" s="14" t="s">
        <v>14</v>
      </c>
      <c r="H1" s="1" t="s">
        <v>15</v>
      </c>
    </row>
    <row r="2" spans="1:8" ht="18" x14ac:dyDescent="0.6">
      <c r="A2" s="6" t="s">
        <v>1</v>
      </c>
      <c r="B2" s="2">
        <v>12</v>
      </c>
      <c r="C2" s="3">
        <v>13</v>
      </c>
      <c r="D2" s="3">
        <v>12</v>
      </c>
      <c r="E2" s="3">
        <v>13</v>
      </c>
      <c r="F2" s="3">
        <v>50</v>
      </c>
      <c r="G2" s="2">
        <v>100</v>
      </c>
      <c r="H2" s="2">
        <f>SUM(B2,C2,E2,F2)</f>
        <v>88</v>
      </c>
    </row>
    <row r="3" spans="1:8" ht="20.7" x14ac:dyDescent="0.7">
      <c r="A3" s="5" t="s">
        <v>2</v>
      </c>
      <c r="B3" s="8">
        <v>4</v>
      </c>
      <c r="C3" s="6">
        <v>8</v>
      </c>
      <c r="D3" s="13">
        <v>3</v>
      </c>
      <c r="E3" s="13">
        <v>11</v>
      </c>
      <c r="F3" s="13">
        <v>41</v>
      </c>
      <c r="G3" s="8">
        <f>SUM(B3,C3,D3,E3,F3)</f>
        <v>67</v>
      </c>
      <c r="H3" s="8">
        <f>SUM(B3,C3,E3,F3)</f>
        <v>64</v>
      </c>
    </row>
    <row r="4" spans="1:8" ht="20.7" x14ac:dyDescent="0.7">
      <c r="A4" s="5" t="s">
        <v>3</v>
      </c>
      <c r="B4" s="8">
        <v>0</v>
      </c>
      <c r="C4" s="6">
        <v>0</v>
      </c>
      <c r="D4" s="6">
        <v>3</v>
      </c>
      <c r="E4" s="6">
        <v>1</v>
      </c>
      <c r="F4" s="6">
        <v>3</v>
      </c>
      <c r="G4" s="8">
        <f>SUM(B4,C4,D4,E4,F4)</f>
        <v>7</v>
      </c>
      <c r="H4" s="8">
        <f>SUM(B4,C4,E4,F4)</f>
        <v>4</v>
      </c>
    </row>
    <row r="5" spans="1:8" ht="20.7" x14ac:dyDescent="0.7">
      <c r="A5" s="5" t="s">
        <v>4</v>
      </c>
      <c r="B5" s="8">
        <v>5</v>
      </c>
      <c r="C5" s="6">
        <v>0</v>
      </c>
      <c r="D5" s="6">
        <v>1</v>
      </c>
      <c r="E5" s="6">
        <v>0</v>
      </c>
      <c r="F5" s="6">
        <v>4</v>
      </c>
      <c r="G5" s="8">
        <f>SUM(B5,C5,D5,E5,F5)</f>
        <v>10</v>
      </c>
      <c r="H5" s="8">
        <f>SUM(B5,C5,E5,F5)</f>
        <v>9</v>
      </c>
    </row>
    <row r="6" spans="1:8" ht="20.7" x14ac:dyDescent="0.7">
      <c r="A6" s="5" t="s">
        <v>5</v>
      </c>
      <c r="B6" s="8">
        <v>3</v>
      </c>
      <c r="C6" s="6">
        <v>5</v>
      </c>
      <c r="D6" s="6">
        <v>5</v>
      </c>
      <c r="E6" s="6">
        <v>1</v>
      </c>
      <c r="F6" s="6">
        <v>2</v>
      </c>
      <c r="G6" s="8">
        <f>SUM(B6,C6,D6,E6,F6)</f>
        <v>16</v>
      </c>
      <c r="H6" s="8">
        <f>SUM(B6,C6,E6,F6)</f>
        <v>11</v>
      </c>
    </row>
    <row r="7" spans="1:8" ht="20.7" x14ac:dyDescent="0.7">
      <c r="A7" s="5" t="s">
        <v>6</v>
      </c>
      <c r="B7" s="8">
        <f>(B3/(B3+B5))</f>
        <v>0.44444444444444442</v>
      </c>
      <c r="C7" s="6">
        <f>(C3/(C3+C5))</f>
        <v>1</v>
      </c>
      <c r="D7" s="6">
        <f>(D3/(D3+D5))</f>
        <v>0.75</v>
      </c>
      <c r="E7" s="6">
        <f t="shared" ref="E7:F7" si="0">(E3/(E3+E5))</f>
        <v>1</v>
      </c>
      <c r="F7" s="6">
        <f t="shared" si="0"/>
        <v>0.91111111111111109</v>
      </c>
      <c r="G7" s="8">
        <f>(G3/(G3+G5))</f>
        <v>0.87012987012987009</v>
      </c>
      <c r="H7" s="8">
        <f>(H3/(H3+H5))</f>
        <v>0.87671232876712324</v>
      </c>
    </row>
    <row r="8" spans="1:8" ht="20.7" x14ac:dyDescent="0.7">
      <c r="A8" s="5" t="s">
        <v>7</v>
      </c>
      <c r="B8" s="8">
        <f>(B3/(B3+B6))</f>
        <v>0.5714285714285714</v>
      </c>
      <c r="C8" s="6">
        <f>(C3/(C3+C6))</f>
        <v>0.61538461538461542</v>
      </c>
      <c r="D8" s="6">
        <f>(D3/(D3+D6))</f>
        <v>0.375</v>
      </c>
      <c r="E8" s="6">
        <f t="shared" ref="E8:F8" si="1">(E3/(E3+E6))</f>
        <v>0.91666666666666663</v>
      </c>
      <c r="F8" s="6">
        <f t="shared" si="1"/>
        <v>0.95348837209302328</v>
      </c>
      <c r="G8" s="8">
        <f>(G3/(G3+G6))</f>
        <v>0.80722891566265065</v>
      </c>
      <c r="H8" s="8">
        <f>(H3/(H3+H6))</f>
        <v>0.85333333333333339</v>
      </c>
    </row>
    <row r="9" spans="1:8" ht="20.7" x14ac:dyDescent="0.7">
      <c r="A9" s="5" t="s">
        <v>8</v>
      </c>
      <c r="B9" s="9">
        <f>((2*B7*B8)/(B7+B8))</f>
        <v>0.5</v>
      </c>
      <c r="C9" s="11">
        <f>((2*C7*C8)/(C7+C8))</f>
        <v>0.76190476190476197</v>
      </c>
      <c r="D9" s="11">
        <f>((2*D7*D8)/(D7+D8))</f>
        <v>0.5</v>
      </c>
      <c r="E9" s="11">
        <f t="shared" ref="E9:F9" si="2">((2*E7*E8)/(E7+E8))</f>
        <v>0.95652173913043481</v>
      </c>
      <c r="F9" s="11">
        <f t="shared" si="2"/>
        <v>0.93181818181818188</v>
      </c>
      <c r="G9" s="9">
        <f>((2*G7*G8)/(G7+G8))</f>
        <v>0.83750000000000002</v>
      </c>
      <c r="H9" s="9">
        <f>((2*H7*H8)/(H7+H8))</f>
        <v>0.8648648648648648</v>
      </c>
    </row>
    <row r="10" spans="1:8" ht="21" thickBot="1" x14ac:dyDescent="0.75">
      <c r="A10" s="7" t="s">
        <v>9</v>
      </c>
      <c r="B10" s="10">
        <f>((B3+B4)/(B3+B4+B5+B6))</f>
        <v>0.33333333333333331</v>
      </c>
      <c r="C10" s="12">
        <f>((C3+C4)/(C3+C4+C5+C6))</f>
        <v>0.61538461538461542</v>
      </c>
      <c r="D10" s="12">
        <f>((D3+D4)/(D3+D4+D5+D6))</f>
        <v>0.5</v>
      </c>
      <c r="E10" s="12">
        <f t="shared" ref="E10:F10" si="3">((E3+E4)/(E3+E4+E5+E6))</f>
        <v>0.92307692307692313</v>
      </c>
      <c r="F10" s="12">
        <f t="shared" si="3"/>
        <v>0.88</v>
      </c>
      <c r="G10" s="10">
        <f>((G3+G4)/(G3+G4+G5+G6))</f>
        <v>0.74</v>
      </c>
      <c r="H10" s="10">
        <f>((H3+H4)/(H3+H4+H5+H6))</f>
        <v>0.77272727272727271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FaMix U</dc:creator>
  <cp:lastModifiedBy>FABIO MISINO ORTEGA</cp:lastModifiedBy>
  <dcterms:created xsi:type="dcterms:W3CDTF">2015-06-05T18:19:34Z</dcterms:created>
  <dcterms:modified xsi:type="dcterms:W3CDTF">2025-02-26T15:26:49Z</dcterms:modified>
</cp:coreProperties>
</file>